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Comparison Log" sheetId="1" r:id="rId4"/>
    <sheet state="visible" name="Trading Performance" sheetId="2" r:id="rId5"/>
    <sheet state="visible" name="Summary Dashboard" sheetId="3" r:id="rId6"/>
    <sheet state="visible" name="Instructions" sheetId="4" r:id="rId7"/>
  </sheets>
  <definedNames/>
  <calcPr/>
  <extLst>
    <ext uri="GoogleSheetsCustomDataVersion2">
      <go:sheetsCustomData xmlns:go="http://customooxmlschemas.google.com/" r:id="rId8" roundtripDataChecksum="ZcsD2aeYbt0etVH7rgwDvRr/TNAzLhJB3Nblsp4VFQI="/>
    </ext>
  </extLst>
</workbook>
</file>

<file path=xl/sharedStrings.xml><?xml version="1.0" encoding="utf-8"?>
<sst xmlns="http://schemas.openxmlformats.org/spreadsheetml/2006/main" count="118" uniqueCount="104">
  <si>
    <t>Date</t>
  </si>
  <si>
    <t>Time</t>
  </si>
  <si>
    <t>Day</t>
  </si>
  <si>
    <t>Call OI (Your)</t>
  </si>
  <si>
    <t>Call OI (GEX)</t>
  </si>
  <si>
    <t>Call OI Diff</t>
  </si>
  <si>
    <t>Pos GEX (Your)</t>
  </si>
  <si>
    <t>Pos GEX (GEX)</t>
  </si>
  <si>
    <t>Pos GEX Diff</t>
  </si>
  <si>
    <t>Zero Gamma (Your)</t>
  </si>
  <si>
    <t>Zero Gamma (GEX)</t>
  </si>
  <si>
    <t>Zero Gamma Diff</t>
  </si>
  <si>
    <t>Neg GEX (Your)</t>
  </si>
  <si>
    <t>Neg GEX (GEX)</t>
  </si>
  <si>
    <t>Neg GEX Diff</t>
  </si>
  <si>
    <t>Put OI (Your)</t>
  </si>
  <si>
    <t>Put OI (GEX)</t>
  </si>
  <si>
    <t>Put OI Diff</t>
  </si>
  <si>
    <t>Avg Diff (QQQ)</t>
  </si>
  <si>
    <t>Avg Diff (NQ)</t>
  </si>
  <si>
    <t>Status</t>
  </si>
  <si>
    <t>Notes</t>
  </si>
  <si>
    <t>09:00</t>
  </si>
  <si>
    <t>Wed</t>
  </si>
  <si>
    <t>Perfect match on 4/5 levels</t>
  </si>
  <si>
    <t>Thu</t>
  </si>
  <si>
    <t>Fri</t>
  </si>
  <si>
    <t>Mon</t>
  </si>
  <si>
    <t>Tue</t>
  </si>
  <si>
    <t>Trade #</t>
  </si>
  <si>
    <t>Direction</t>
  </si>
  <si>
    <t>Entry Price</t>
  </si>
  <si>
    <t>Exit Price</t>
  </si>
  <si>
    <t>P&amp;L (pts)</t>
  </si>
  <si>
    <t>Level Used</t>
  </si>
  <si>
    <t>Source</t>
  </si>
  <si>
    <t>Win/Loss</t>
  </si>
  <si>
    <t>2025-10-29</t>
  </si>
  <si>
    <t>10:15</t>
  </si>
  <si>
    <t>Long</t>
  </si>
  <si>
    <t>Pos GEX</t>
  </si>
  <si>
    <t>API</t>
  </si>
  <si>
    <t>Bounced perfectly off Pos GEX level</t>
  </si>
  <si>
    <t>Win</t>
  </si>
  <si>
    <t>SUMMARY</t>
  </si>
  <si>
    <t>Total Trades:</t>
  </si>
  <si>
    <t>Wins:</t>
  </si>
  <si>
    <t>Losses:</t>
  </si>
  <si>
    <t>Win Rate:</t>
  </si>
  <si>
    <t>Total P&amp;L:</t>
  </si>
  <si>
    <t>API Trades:</t>
  </si>
  <si>
    <t>GEXstream Trades:</t>
  </si>
  <si>
    <t>Phase 4: Parallel Testing Summary</t>
  </si>
  <si>
    <t>KEY METRICS</t>
  </si>
  <si>
    <t>Testing Days:</t>
  </si>
  <si>
    <t>Average Difference (QQQ):</t>
  </si>
  <si>
    <t>Average Difference (NQ pts):</t>
  </si>
  <si>
    <t>Days with Perfect Match:</t>
  </si>
  <si>
    <t>Days within 2pt:</t>
  </si>
  <si>
    <t>DECISION CRITERIA</t>
  </si>
  <si>
    <t>Question: Are API levels comparable to GEXStream?</t>
  </si>
  <si>
    <t>Target: Average difference ≤ $2 QQQ (≤ 80 NQ pts)</t>
  </si>
  <si>
    <t>Current Status:</t>
  </si>
  <si>
    <t>TRADING PERFORMANCE</t>
  </si>
  <si>
    <t>NOTES &amp; OBSERVATIONS</t>
  </si>
  <si>
    <t>What's working well:</t>
  </si>
  <si>
    <t>What needs improvement:</t>
  </si>
  <si>
    <t>Issues encountered:</t>
  </si>
  <si>
    <t>Decision to proceed:</t>
  </si>
  <si>
    <t>DAILY WORKFLOW:</t>
  </si>
  <si>
    <t>1. Every morning at 9:00 AM:</t>
  </si>
  <si>
    <t xml:space="preserve">   - Run: run_gex.bat (or manually run fetch + calculate scripts)</t>
  </si>
  <si>
    <t xml:space="preserve">   - Open GEXstream.com</t>
  </si>
  <si>
    <t xml:space="preserve">   - Record both sets of levels in 'Daily Comparison Log' sheet</t>
  </si>
  <si>
    <t>2. During trading (9:30 AM - 12:00 PM):</t>
  </si>
  <si>
    <t xml:space="preserve">   - Take trades based on your chosen levels (API or GEXstream)</t>
  </si>
  <si>
    <t xml:space="preserve">   - Log each trade in 'Trading Performance' sheet</t>
  </si>
  <si>
    <t xml:space="preserve">   - Note which system's levels you used</t>
  </si>
  <si>
    <t>3. End of day:</t>
  </si>
  <si>
    <t xml:space="preserve">   - Review the 'Daily Comparison Log' for accuracy</t>
  </si>
  <si>
    <t xml:space="preserve">   - Add notes about what you observed</t>
  </si>
  <si>
    <t xml:space="preserve">   - Update 'Summary Dashboard' if needed</t>
  </si>
  <si>
    <t>WHAT TO TRACK:</t>
  </si>
  <si>
    <t>✅ Accuracy: How close are API levels to GEXstream?</t>
  </si>
  <si>
    <t>✅ Consistency: Are differences consistent or random?</t>
  </si>
  <si>
    <t>✅ Trading: Which levels led to better trades?</t>
  </si>
  <si>
    <t>✅ Reliability: Any API failures or issues?</t>
  </si>
  <si>
    <t>✅ Confidence: How confident are you in the API levels?</t>
  </si>
  <si>
    <t>DECISION POINTS:</t>
  </si>
  <si>
    <t>After 3-5 days:</t>
  </si>
  <si>
    <t>- If average difference ≤ $2 QQQ → API is accurate enough</t>
  </si>
  <si>
    <t>- If API feels as reliable as GEXstream → Proceed to Phase 5</t>
  </si>
  <si>
    <t>- If API has issues → Debug and continue testing</t>
  </si>
  <si>
    <t>SUCCESS CRITERIA:</t>
  </si>
  <si>
    <t>✅ Average difference ≤ $2 QQQ (≤ 80 NQ points)</t>
  </si>
  <si>
    <t>✅ No significant API failures or errors</t>
  </si>
  <si>
    <t>✅ Levels match GEXstream at least 80% of the time</t>
  </si>
  <si>
    <t>✅ You feel confident trading from API levels</t>
  </si>
  <si>
    <t>✅ System saves you time vs manual GEXstream entry</t>
  </si>
  <si>
    <t>NOTES:</t>
  </si>
  <si>
    <t>- Zero Gamma may have slight variance (±$2-3) - this is normal</t>
  </si>
  <si>
    <t>- Pos GEX and Neg GEX are most critical for trading</t>
  </si>
  <si>
    <t>- Some variance is acceptable as long as it's consistent</t>
  </si>
  <si>
    <t>- If you see patterns in differences, note them for debugging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</si>
</sst>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$#,##0.00"/>
    <numFmt numFmtId="166" formatCode="0.0%"/>
  </numFmts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sz val="9.0"/>
      <color theme="1"/>
      <name val="Calibri"/>
      <scheme val="minor"/>
    </font>
    <font>
      <b/>
      <sz val="12.0"/>
      <color theme="1"/>
      <name val="Calibri"/>
      <scheme val="minor"/>
    </font>
    <font>
      <b/>
      <sz val="16.0"/>
      <color rgb="FF4472C4"/>
      <name val="Calibri"/>
      <scheme val="minor"/>
    </font>
    <font>
      <b/>
      <color theme="1"/>
      <name val="Calibri"/>
      <scheme val="minor"/>
    </font>
    <font>
      <b/>
      <sz val="14.0"/>
      <color rgb="FF4472C4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164" xfId="0" applyFont="1" applyNumberFormat="1"/>
    <xf borderId="0" fillId="0" fontId="2" numFmtId="0" xfId="0" applyFont="1"/>
    <xf borderId="0" fillId="0" fontId="3" numFmtId="165" xfId="0" applyFont="1" applyNumberFormat="1"/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3" numFmtId="166" xfId="0" applyFont="1" applyNumberFormat="1"/>
    <xf borderId="0" fillId="0" fontId="6" numFmtId="0" xfId="0" applyFont="1"/>
    <xf borderId="0" fillId="0" fontId="7" numFmtId="0" xfId="0" applyFont="1"/>
    <xf borderId="0" fillId="0" fontId="3" numFmtId="3" xfId="0" applyFont="1" applyNumberForma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6.0"/>
    <col customWidth="1" min="4" max="5" width="14.0"/>
    <col customWidth="1" min="6" max="6" width="12.0"/>
    <col customWidth="1" min="7" max="8" width="14.0"/>
    <col customWidth="1" min="9" max="9" width="12.0"/>
    <col customWidth="1" min="10" max="10" width="21.14"/>
    <col customWidth="1" min="11" max="11" width="19.14"/>
    <col customWidth="1" min="12" max="12" width="18.57"/>
    <col customWidth="1" min="13" max="14" width="14.0"/>
    <col customWidth="1" min="15" max="15" width="12.0"/>
    <col customWidth="1" min="16" max="17" width="14.0"/>
    <col customWidth="1" min="18" max="18" width="12.0"/>
    <col customWidth="1" min="19" max="19" width="14.0"/>
    <col customWidth="1" min="20" max="20" width="12.0"/>
    <col customWidth="1" min="21" max="21" width="14.0"/>
    <col customWidth="1" min="22" max="22" width="30.0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45959.0</v>
      </c>
      <c r="B2" s="3" t="s">
        <v>22</v>
      </c>
      <c r="C2" s="3" t="s">
        <v>23</v>
      </c>
      <c r="D2" s="4">
        <v>635.0</v>
      </c>
      <c r="E2" s="4">
        <v>635.0</v>
      </c>
      <c r="F2" s="5">
        <f t="shared" ref="F2:F15" si="1">E2-D2</f>
        <v>0</v>
      </c>
      <c r="G2" s="4">
        <v>635.0</v>
      </c>
      <c r="H2" s="4">
        <v>635.0</v>
      </c>
      <c r="I2" s="5">
        <f t="shared" ref="I2:I15" si="2">H2-G2</f>
        <v>0</v>
      </c>
      <c r="J2" s="4">
        <v>631.35</v>
      </c>
      <c r="K2" s="4">
        <v>633.38</v>
      </c>
      <c r="L2" s="5">
        <f t="shared" ref="L2:L15" si="3">K2-J2</f>
        <v>2.03</v>
      </c>
      <c r="M2" s="4">
        <v>636.0</v>
      </c>
      <c r="N2" s="4">
        <v>633.0</v>
      </c>
      <c r="O2" s="5">
        <f t="shared" ref="O2:O15" si="4">N2-M2</f>
        <v>-3</v>
      </c>
      <c r="P2" s="4">
        <v>620.0</v>
      </c>
      <c r="Q2" s="4">
        <v>620.0</v>
      </c>
      <c r="R2" s="5">
        <f t="shared" ref="R2:R15" si="5">Q2-P2</f>
        <v>0</v>
      </c>
      <c r="S2" s="5">
        <f t="shared" ref="S2:S15" si="6">AVERAGE(ABS(F2),ABS(I2),ABS(L2),ABS(O2),ABS(R2))</f>
        <v>1.006</v>
      </c>
      <c r="T2" s="5">
        <f t="shared" ref="T2:T15" si="7">S2*41.35</f>
        <v>41.5981</v>
      </c>
      <c r="U2" s="3" t="str">
        <f t="shared" ref="U2:U15" si="8">IF(S2&lt;=1,"✅ Excellent",IF(S2&lt;=2,"⚠️ Good","❌ Check"))</f>
        <v>⚠️ Good</v>
      </c>
      <c r="V2" s="3" t="s">
        <v>24</v>
      </c>
    </row>
    <row r="3">
      <c r="A3" s="2">
        <v>45960.0</v>
      </c>
      <c r="C3" s="3" t="s">
        <v>25</v>
      </c>
      <c r="F3" s="3">
        <f t="shared" si="1"/>
        <v>0</v>
      </c>
      <c r="I3" s="3">
        <f t="shared" si="2"/>
        <v>0</v>
      </c>
      <c r="L3" s="3">
        <f t="shared" si="3"/>
        <v>0</v>
      </c>
      <c r="O3" s="3">
        <f t="shared" si="4"/>
        <v>0</v>
      </c>
      <c r="R3" s="3">
        <f t="shared" si="5"/>
        <v>0</v>
      </c>
      <c r="S3" s="3">
        <f t="shared" si="6"/>
        <v>0</v>
      </c>
      <c r="T3" s="3">
        <f t="shared" si="7"/>
        <v>0</v>
      </c>
      <c r="U3" s="3" t="str">
        <f t="shared" si="8"/>
        <v>✅ Excellent</v>
      </c>
    </row>
    <row r="4">
      <c r="A4" s="2">
        <v>45961.0</v>
      </c>
      <c r="C4" s="3" t="s">
        <v>26</v>
      </c>
      <c r="F4" s="3">
        <f t="shared" si="1"/>
        <v>0</v>
      </c>
      <c r="I4" s="3">
        <f t="shared" si="2"/>
        <v>0</v>
      </c>
      <c r="L4" s="3">
        <f t="shared" si="3"/>
        <v>0</v>
      </c>
      <c r="O4" s="3">
        <f t="shared" si="4"/>
        <v>0</v>
      </c>
      <c r="R4" s="3">
        <f t="shared" si="5"/>
        <v>0</v>
      </c>
      <c r="S4" s="3">
        <f t="shared" si="6"/>
        <v>0</v>
      </c>
      <c r="T4" s="3">
        <f t="shared" si="7"/>
        <v>0</v>
      </c>
      <c r="U4" s="3" t="str">
        <f t="shared" si="8"/>
        <v>✅ Excellent</v>
      </c>
    </row>
    <row r="5">
      <c r="A5" s="2">
        <v>45964.0</v>
      </c>
      <c r="C5" s="3" t="s">
        <v>27</v>
      </c>
      <c r="F5" s="3">
        <f t="shared" si="1"/>
        <v>0</v>
      </c>
      <c r="I5" s="3">
        <f t="shared" si="2"/>
        <v>0</v>
      </c>
      <c r="L5" s="3">
        <f t="shared" si="3"/>
        <v>0</v>
      </c>
      <c r="O5" s="3">
        <f t="shared" si="4"/>
        <v>0</v>
      </c>
      <c r="R5" s="3">
        <f t="shared" si="5"/>
        <v>0</v>
      </c>
      <c r="S5" s="3">
        <f t="shared" si="6"/>
        <v>0</v>
      </c>
      <c r="T5" s="3">
        <f t="shared" si="7"/>
        <v>0</v>
      </c>
      <c r="U5" s="3" t="str">
        <f t="shared" si="8"/>
        <v>✅ Excellent</v>
      </c>
    </row>
    <row r="6">
      <c r="A6" s="2">
        <v>45965.0</v>
      </c>
      <c r="C6" s="3" t="s">
        <v>28</v>
      </c>
      <c r="F6" s="3">
        <f t="shared" si="1"/>
        <v>0</v>
      </c>
      <c r="I6" s="3">
        <f t="shared" si="2"/>
        <v>0</v>
      </c>
      <c r="L6" s="3">
        <f t="shared" si="3"/>
        <v>0</v>
      </c>
      <c r="O6" s="3">
        <f t="shared" si="4"/>
        <v>0</v>
      </c>
      <c r="R6" s="3">
        <f t="shared" si="5"/>
        <v>0</v>
      </c>
      <c r="S6" s="3">
        <f t="shared" si="6"/>
        <v>0</v>
      </c>
      <c r="T6" s="3">
        <f t="shared" si="7"/>
        <v>0</v>
      </c>
      <c r="U6" s="3" t="str">
        <f t="shared" si="8"/>
        <v>✅ Excellent</v>
      </c>
    </row>
    <row r="7">
      <c r="A7" s="2">
        <v>45966.0</v>
      </c>
      <c r="C7" s="3" t="s">
        <v>23</v>
      </c>
      <c r="F7" s="3">
        <f t="shared" si="1"/>
        <v>0</v>
      </c>
      <c r="I7" s="3">
        <f t="shared" si="2"/>
        <v>0</v>
      </c>
      <c r="L7" s="3">
        <f t="shared" si="3"/>
        <v>0</v>
      </c>
      <c r="O7" s="3">
        <f t="shared" si="4"/>
        <v>0</v>
      </c>
      <c r="R7" s="3">
        <f t="shared" si="5"/>
        <v>0</v>
      </c>
      <c r="S7" s="3">
        <f t="shared" si="6"/>
        <v>0</v>
      </c>
      <c r="T7" s="3">
        <f t="shared" si="7"/>
        <v>0</v>
      </c>
      <c r="U7" s="3" t="str">
        <f t="shared" si="8"/>
        <v>✅ Excellent</v>
      </c>
    </row>
    <row r="8">
      <c r="A8" s="2">
        <v>45967.0</v>
      </c>
      <c r="C8" s="3" t="s">
        <v>25</v>
      </c>
      <c r="F8" s="3">
        <f t="shared" si="1"/>
        <v>0</v>
      </c>
      <c r="I8" s="3">
        <f t="shared" si="2"/>
        <v>0</v>
      </c>
      <c r="L8" s="3">
        <f t="shared" si="3"/>
        <v>0</v>
      </c>
      <c r="O8" s="3">
        <f t="shared" si="4"/>
        <v>0</v>
      </c>
      <c r="R8" s="3">
        <f t="shared" si="5"/>
        <v>0</v>
      </c>
      <c r="S8" s="3">
        <f t="shared" si="6"/>
        <v>0</v>
      </c>
      <c r="T8" s="3">
        <f t="shared" si="7"/>
        <v>0</v>
      </c>
      <c r="U8" s="3" t="str">
        <f t="shared" si="8"/>
        <v>✅ Excellent</v>
      </c>
    </row>
    <row r="9">
      <c r="A9" s="2">
        <v>45968.0</v>
      </c>
      <c r="C9" s="3" t="s">
        <v>26</v>
      </c>
      <c r="F9" s="3">
        <f t="shared" si="1"/>
        <v>0</v>
      </c>
      <c r="I9" s="3">
        <f t="shared" si="2"/>
        <v>0</v>
      </c>
      <c r="L9" s="3">
        <f t="shared" si="3"/>
        <v>0</v>
      </c>
      <c r="O9" s="3">
        <f t="shared" si="4"/>
        <v>0</v>
      </c>
      <c r="R9" s="3">
        <f t="shared" si="5"/>
        <v>0</v>
      </c>
      <c r="S9" s="3">
        <f t="shared" si="6"/>
        <v>0</v>
      </c>
      <c r="T9" s="3">
        <f t="shared" si="7"/>
        <v>0</v>
      </c>
      <c r="U9" s="3" t="str">
        <f t="shared" si="8"/>
        <v>✅ Excellent</v>
      </c>
    </row>
    <row r="10">
      <c r="A10" s="2">
        <v>45971.0</v>
      </c>
      <c r="C10" s="3" t="s">
        <v>27</v>
      </c>
      <c r="F10" s="3">
        <f t="shared" si="1"/>
        <v>0</v>
      </c>
      <c r="I10" s="3">
        <f t="shared" si="2"/>
        <v>0</v>
      </c>
      <c r="L10" s="3">
        <f t="shared" si="3"/>
        <v>0</v>
      </c>
      <c r="O10" s="3">
        <f t="shared" si="4"/>
        <v>0</v>
      </c>
      <c r="R10" s="3">
        <f t="shared" si="5"/>
        <v>0</v>
      </c>
      <c r="S10" s="3">
        <f t="shared" si="6"/>
        <v>0</v>
      </c>
      <c r="T10" s="3">
        <f t="shared" si="7"/>
        <v>0</v>
      </c>
      <c r="U10" s="3" t="str">
        <f t="shared" si="8"/>
        <v>✅ Excellent</v>
      </c>
    </row>
    <row r="11">
      <c r="A11" s="2">
        <v>45972.0</v>
      </c>
      <c r="C11" s="3" t="s">
        <v>28</v>
      </c>
      <c r="F11" s="3">
        <f t="shared" si="1"/>
        <v>0</v>
      </c>
      <c r="I11" s="3">
        <f t="shared" si="2"/>
        <v>0</v>
      </c>
      <c r="L11" s="3">
        <f t="shared" si="3"/>
        <v>0</v>
      </c>
      <c r="O11" s="3">
        <f t="shared" si="4"/>
        <v>0</v>
      </c>
      <c r="R11" s="3">
        <f t="shared" si="5"/>
        <v>0</v>
      </c>
      <c r="S11" s="3">
        <f t="shared" si="6"/>
        <v>0</v>
      </c>
      <c r="T11" s="3">
        <f t="shared" si="7"/>
        <v>0</v>
      </c>
      <c r="U11" s="3" t="str">
        <f t="shared" si="8"/>
        <v>✅ Excellent</v>
      </c>
    </row>
    <row r="12">
      <c r="A12" s="2">
        <v>45973.0</v>
      </c>
      <c r="C12" s="3" t="s">
        <v>23</v>
      </c>
      <c r="F12" s="3">
        <f t="shared" si="1"/>
        <v>0</v>
      </c>
      <c r="I12" s="3">
        <f t="shared" si="2"/>
        <v>0</v>
      </c>
      <c r="L12" s="3">
        <f t="shared" si="3"/>
        <v>0</v>
      </c>
      <c r="O12" s="3">
        <f t="shared" si="4"/>
        <v>0</v>
      </c>
      <c r="R12" s="3">
        <f t="shared" si="5"/>
        <v>0</v>
      </c>
      <c r="S12" s="3">
        <f t="shared" si="6"/>
        <v>0</v>
      </c>
      <c r="T12" s="3">
        <f t="shared" si="7"/>
        <v>0</v>
      </c>
      <c r="U12" s="3" t="str">
        <f t="shared" si="8"/>
        <v>✅ Excellent</v>
      </c>
    </row>
    <row r="13">
      <c r="A13" s="2">
        <v>45974.0</v>
      </c>
      <c r="C13" s="3" t="s">
        <v>25</v>
      </c>
      <c r="F13" s="3">
        <f t="shared" si="1"/>
        <v>0</v>
      </c>
      <c r="I13" s="3">
        <f t="shared" si="2"/>
        <v>0</v>
      </c>
      <c r="L13" s="3">
        <f t="shared" si="3"/>
        <v>0</v>
      </c>
      <c r="O13" s="3">
        <f t="shared" si="4"/>
        <v>0</v>
      </c>
      <c r="R13" s="3">
        <f t="shared" si="5"/>
        <v>0</v>
      </c>
      <c r="S13" s="3">
        <f t="shared" si="6"/>
        <v>0</v>
      </c>
      <c r="T13" s="3">
        <f t="shared" si="7"/>
        <v>0</v>
      </c>
      <c r="U13" s="3" t="str">
        <f t="shared" si="8"/>
        <v>✅ Excellent</v>
      </c>
    </row>
    <row r="14">
      <c r="A14" s="2">
        <v>45975.0</v>
      </c>
      <c r="C14" s="3" t="s">
        <v>26</v>
      </c>
      <c r="F14" s="3">
        <f t="shared" si="1"/>
        <v>0</v>
      </c>
      <c r="I14" s="3">
        <f t="shared" si="2"/>
        <v>0</v>
      </c>
      <c r="L14" s="3">
        <f t="shared" si="3"/>
        <v>0</v>
      </c>
      <c r="O14" s="3">
        <f t="shared" si="4"/>
        <v>0</v>
      </c>
      <c r="R14" s="3">
        <f t="shared" si="5"/>
        <v>0</v>
      </c>
      <c r="S14" s="3">
        <f t="shared" si="6"/>
        <v>0</v>
      </c>
      <c r="T14" s="3">
        <f t="shared" si="7"/>
        <v>0</v>
      </c>
      <c r="U14" s="3" t="str">
        <f t="shared" si="8"/>
        <v>✅ Excellent</v>
      </c>
    </row>
    <row r="15">
      <c r="A15" s="2"/>
      <c r="F15" s="3">
        <f t="shared" si="1"/>
        <v>0</v>
      </c>
      <c r="I15" s="3">
        <f t="shared" si="2"/>
        <v>0</v>
      </c>
      <c r="L15" s="3">
        <f t="shared" si="3"/>
        <v>0</v>
      </c>
      <c r="O15" s="3">
        <f t="shared" si="4"/>
        <v>0</v>
      </c>
      <c r="R15" s="3">
        <f t="shared" si="5"/>
        <v>0</v>
      </c>
      <c r="S15" s="3">
        <f t="shared" si="6"/>
        <v>0</v>
      </c>
      <c r="T15" s="3">
        <f t="shared" si="7"/>
        <v>0</v>
      </c>
      <c r="U15" s="3" t="str">
        <f t="shared" si="8"/>
        <v>✅ Excellent</v>
      </c>
    </row>
    <row r="16" ht="15.75" customHeight="1"/>
    <row r="17">
      <c r="A17" s="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">
    <mergeCell ref="A17:V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8.0"/>
    <col customWidth="1" min="4" max="4" width="10.0"/>
    <col customWidth="1" min="5" max="6" width="12.0"/>
    <col customWidth="1" min="7" max="7" width="10.0"/>
    <col customWidth="1" min="8" max="9" width="12.0"/>
    <col customWidth="1" min="10" max="10" width="40.0"/>
    <col customWidth="1" min="11" max="11" width="10.0"/>
    <col customWidth="1" min="12" max="26" width="8.71"/>
  </cols>
  <sheetData>
    <row r="1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21</v>
      </c>
      <c r="K1" s="1" t="s">
        <v>36</v>
      </c>
    </row>
    <row r="2">
      <c r="A2" s="3" t="s">
        <v>37</v>
      </c>
      <c r="B2" s="3" t="s">
        <v>38</v>
      </c>
      <c r="C2" s="3">
        <v>1.0</v>
      </c>
      <c r="D2" s="3" t="s">
        <v>39</v>
      </c>
      <c r="E2" s="3">
        <v>20250.0</v>
      </c>
      <c r="F2" s="3">
        <v>20275.0</v>
      </c>
      <c r="G2" s="3">
        <v>25.0</v>
      </c>
      <c r="H2" s="3" t="s">
        <v>40</v>
      </c>
      <c r="I2" s="3" t="s">
        <v>41</v>
      </c>
      <c r="J2" s="3" t="s">
        <v>42</v>
      </c>
      <c r="K2" s="3" t="s">
        <v>43</v>
      </c>
    </row>
    <row r="21" ht="15.75" customHeight="1"/>
    <row r="22" ht="15.75" customHeight="1"/>
    <row r="23" ht="15.75" customHeight="1"/>
    <row r="24" ht="15.75" customHeight="1"/>
    <row r="25" ht="15.75" customHeight="1">
      <c r="A25" s="7" t="s">
        <v>44</v>
      </c>
    </row>
    <row r="26" ht="15.75" customHeight="1">
      <c r="A26" s="3" t="s">
        <v>45</v>
      </c>
      <c r="B26" s="3">
        <f>COUNTA(C2:C24)</f>
        <v>1</v>
      </c>
    </row>
    <row r="27" ht="15.75" customHeight="1">
      <c r="A27" s="3" t="s">
        <v>46</v>
      </c>
      <c r="B27" s="3">
        <f>COUNTIF(K2:K24,"Win")</f>
        <v>1</v>
      </c>
    </row>
    <row r="28" ht="15.75" customHeight="1">
      <c r="A28" s="3" t="s">
        <v>47</v>
      </c>
      <c r="B28" s="3">
        <f>COUNTIF(K2:K24,"Loss")</f>
        <v>0</v>
      </c>
    </row>
    <row r="29" ht="15.75" customHeight="1">
      <c r="A29" s="3" t="s">
        <v>48</v>
      </c>
      <c r="B29" s="8">
        <f>B27/B26</f>
        <v>1</v>
      </c>
    </row>
    <row r="30" ht="15.75" customHeight="1">
      <c r="A30" s="3" t="s">
        <v>49</v>
      </c>
      <c r="B30" s="3">
        <f>SUM(G2:G24)</f>
        <v>25</v>
      </c>
    </row>
    <row r="31" ht="15.75" customHeight="1"/>
    <row r="32" ht="15.75" customHeight="1">
      <c r="A32" s="3" t="s">
        <v>50</v>
      </c>
      <c r="B32" s="3">
        <f>COUNTIF(I2:I24,"API")</f>
        <v>1</v>
      </c>
    </row>
    <row r="33" ht="15.75" customHeight="1">
      <c r="A33" s="3" t="s">
        <v>51</v>
      </c>
      <c r="B33" s="3">
        <f>COUNTIF(I2:I24,"GEXstream")</f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20.0"/>
    <col customWidth="1" min="4" max="4" width="30.0"/>
    <col customWidth="1" min="5" max="26" width="8.71"/>
  </cols>
  <sheetData>
    <row r="1">
      <c r="A1" s="9" t="s">
        <v>52</v>
      </c>
    </row>
    <row r="3">
      <c r="A3" s="7" t="s">
        <v>53</v>
      </c>
    </row>
    <row r="4">
      <c r="A4" s="10" t="s">
        <v>54</v>
      </c>
      <c r="B4" s="3">
        <f>COUNTA('Daily Comparison Log'!A2:A95)</f>
        <v>13</v>
      </c>
    </row>
    <row r="5">
      <c r="A5" s="10" t="s">
        <v>55</v>
      </c>
      <c r="B5" s="4">
        <f>AVERAGE('Daily Comparison Log'!S2:S95)</f>
        <v>0.07185714286</v>
      </c>
    </row>
    <row r="6">
      <c r="A6" s="10" t="s">
        <v>56</v>
      </c>
      <c r="B6" s="11">
        <f>AVERAGE('Daily Comparison Log'!T2:T95)</f>
        <v>2.971292857</v>
      </c>
    </row>
    <row r="7">
      <c r="A7" s="10" t="s">
        <v>57</v>
      </c>
      <c r="B7" s="3">
        <f>COUNTIF('Daily Comparison Log'!S2:S95,"&lt;=1")</f>
        <v>13</v>
      </c>
    </row>
    <row r="8">
      <c r="A8" s="10" t="s">
        <v>58</v>
      </c>
      <c r="B8" s="3">
        <f>COUNTIF('Daily Comparison Log'!S2:S95,"&lt;=2")</f>
        <v>14</v>
      </c>
    </row>
    <row r="11">
      <c r="A11" s="7" t="s">
        <v>59</v>
      </c>
    </row>
    <row r="13">
      <c r="A13" s="3" t="s">
        <v>60</v>
      </c>
    </row>
    <row r="14">
      <c r="A14" s="3" t="s">
        <v>61</v>
      </c>
    </row>
    <row r="15">
      <c r="A15" s="3" t="s">
        <v>62</v>
      </c>
      <c r="B15" s="3" t="str">
        <f>IF(B5&lt;=2,"✅ YES - Proceed to Phase 5","❌ NO - Debug needed")</f>
        <v>✅ YES - Proceed to Phase 5</v>
      </c>
    </row>
    <row r="18">
      <c r="A18" s="7" t="s">
        <v>63</v>
      </c>
    </row>
    <row r="20">
      <c r="A20" s="3" t="s">
        <v>45</v>
      </c>
      <c r="B20" s="3">
        <f>'Trading Performance'!B26</f>
        <v>1</v>
      </c>
    </row>
    <row r="21" ht="15.75" customHeight="1">
      <c r="A21" s="3" t="s">
        <v>48</v>
      </c>
      <c r="B21" s="8">
        <f>'Trading Performance'!B29</f>
        <v>1</v>
      </c>
    </row>
    <row r="22" ht="15.75" customHeight="1">
      <c r="A22" s="3" t="s">
        <v>49</v>
      </c>
      <c r="B22" s="3">
        <f>'Trading Performance'!B30</f>
        <v>25</v>
      </c>
    </row>
    <row r="23" ht="15.75" customHeight="1"/>
    <row r="24" ht="15.75" customHeight="1"/>
    <row r="25" ht="15.75" customHeight="1">
      <c r="A25" s="7" t="s">
        <v>64</v>
      </c>
    </row>
    <row r="26" ht="15.75" customHeight="1"/>
    <row r="27" ht="15.75" customHeight="1">
      <c r="A27" s="3" t="s">
        <v>65</v>
      </c>
    </row>
    <row r="28" ht="15.75" customHeight="1">
      <c r="A28" s="3" t="s">
        <v>66</v>
      </c>
    </row>
    <row r="29" ht="15.75" customHeight="1">
      <c r="A29" s="3" t="s">
        <v>67</v>
      </c>
    </row>
    <row r="30" ht="15.75" customHeight="1">
      <c r="A30" s="3" t="s">
        <v>68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12"/>
    </row>
    <row r="2">
      <c r="A2" s="10" t="s">
        <v>69</v>
      </c>
    </row>
    <row r="4">
      <c r="A4" s="10" t="s">
        <v>70</v>
      </c>
    </row>
    <row r="5">
      <c r="A5" s="3" t="s">
        <v>71</v>
      </c>
    </row>
    <row r="6">
      <c r="A6" s="3" t="s">
        <v>72</v>
      </c>
    </row>
    <row r="7">
      <c r="A7" s="3" t="s">
        <v>73</v>
      </c>
    </row>
    <row r="9">
      <c r="A9" s="10" t="s">
        <v>74</v>
      </c>
    </row>
    <row r="10">
      <c r="A10" s="3" t="s">
        <v>75</v>
      </c>
    </row>
    <row r="11">
      <c r="A11" s="3" t="s">
        <v>76</v>
      </c>
    </row>
    <row r="12">
      <c r="A12" s="3" t="s">
        <v>77</v>
      </c>
    </row>
    <row r="14">
      <c r="A14" s="10" t="s">
        <v>78</v>
      </c>
    </row>
    <row r="15">
      <c r="A15" s="3" t="s">
        <v>79</v>
      </c>
    </row>
    <row r="16">
      <c r="A16" s="3" t="s">
        <v>80</v>
      </c>
    </row>
    <row r="17">
      <c r="A17" s="3" t="s">
        <v>81</v>
      </c>
    </row>
    <row r="19">
      <c r="A19" s="10" t="s">
        <v>82</v>
      </c>
    </row>
    <row r="21" ht="15.75" customHeight="1">
      <c r="A21" s="10" t="s">
        <v>83</v>
      </c>
    </row>
    <row r="22" ht="15.75" customHeight="1">
      <c r="A22" s="10" t="s">
        <v>84</v>
      </c>
    </row>
    <row r="23" ht="15.75" customHeight="1">
      <c r="A23" s="10" t="s">
        <v>85</v>
      </c>
    </row>
    <row r="24" ht="15.75" customHeight="1">
      <c r="A24" s="10" t="s">
        <v>86</v>
      </c>
    </row>
    <row r="25" ht="15.75" customHeight="1">
      <c r="A25" s="10" t="s">
        <v>87</v>
      </c>
    </row>
    <row r="26" ht="15.75" customHeight="1"/>
    <row r="27" ht="15.75" customHeight="1">
      <c r="A27" s="10" t="s">
        <v>88</v>
      </c>
    </row>
    <row r="28" ht="15.75" customHeight="1"/>
    <row r="29" ht="15.75" customHeight="1">
      <c r="A29" s="10" t="s">
        <v>89</v>
      </c>
    </row>
    <row r="30" ht="15.75" customHeight="1">
      <c r="A30" s="3" t="s">
        <v>90</v>
      </c>
    </row>
    <row r="31" ht="15.75" customHeight="1">
      <c r="A31" s="3" t="s">
        <v>91</v>
      </c>
    </row>
    <row r="32" ht="15.75" customHeight="1">
      <c r="A32" s="3" t="s">
        <v>92</v>
      </c>
    </row>
    <row r="33" ht="15.75" customHeight="1"/>
    <row r="34" ht="15.75" customHeight="1">
      <c r="A34" s="10" t="s">
        <v>93</v>
      </c>
    </row>
    <row r="35" ht="15.75" customHeight="1"/>
    <row r="36" ht="15.75" customHeight="1">
      <c r="A36" s="10" t="s">
        <v>94</v>
      </c>
    </row>
    <row r="37" ht="15.75" customHeight="1">
      <c r="A37" s="10" t="s">
        <v>95</v>
      </c>
    </row>
    <row r="38" ht="15.75" customHeight="1">
      <c r="A38" s="10" t="s">
        <v>96</v>
      </c>
    </row>
    <row r="39" ht="15.75" customHeight="1">
      <c r="A39" s="10" t="s">
        <v>97</v>
      </c>
    </row>
    <row r="40" ht="15.75" customHeight="1">
      <c r="A40" s="10" t="s">
        <v>98</v>
      </c>
    </row>
    <row r="41" ht="15.75" customHeight="1"/>
    <row r="42" ht="15.75" customHeight="1">
      <c r="A42" s="10" t="s">
        <v>99</v>
      </c>
    </row>
    <row r="43" ht="15.75" customHeight="1"/>
    <row r="44" ht="15.75" customHeight="1">
      <c r="A44" s="3" t="s">
        <v>100</v>
      </c>
    </row>
    <row r="45" ht="15.75" customHeight="1">
      <c r="A45" s="3" t="s">
        <v>101</v>
      </c>
    </row>
    <row r="46" ht="15.75" customHeight="1">
      <c r="A46" s="3" t="s">
        <v>102</v>
      </c>
    </row>
    <row r="47" ht="15.75" customHeight="1">
      <c r="A47" s="3" t="s">
        <v>103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2025-10-29T21:04:34Z</dcterms:created>
  <dc:creator>openpyxl</dc:creator>
</cp:coreProperties>
</file>